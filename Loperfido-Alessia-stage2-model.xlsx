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lessialoperfido/Desktop/"/>
    </mc:Choice>
  </mc:AlternateContent>
  <xr:revisionPtr revIDLastSave="0" documentId="8_{16924AE6-880A-AD4B-9E35-ADDDCC119010}" xr6:coauthVersionLast="47" xr6:coauthVersionMax="47" xr10:uidLastSave="{00000000-0000-0000-0000-000000000000}"/>
  <bookViews>
    <workbookView xWindow="0" yWindow="600" windowWidth="28800" windowHeight="15560" xr2:uid="{00000000-000D-0000-FFFF-FFFF00000000}"/>
  </bookViews>
  <sheets>
    <sheet name="FX Hedge Model" sheetId="1" r:id="rId1"/>
    <sheet name="Notes &amp; Assumptions" sheetId="3" r:id="rId2"/>
  </sheets>
  <definedNames>
    <definedName name="call_price">#REF!</definedName>
    <definedName name="call_strike">#REF!</definedName>
    <definedName name="contract_notional_value_payable">#REF!</definedName>
    <definedName name="current_spot_price_payable">#REF!</definedName>
    <definedName name="for_GBPUSD">'FX Hedge Model'!$F$12</definedName>
    <definedName name="forward_price_payable">#REF!</definedName>
    <definedName name="future_spot_price_payable">#REF!</definedName>
    <definedName name="fv_put_outlay">'FX Hedge Model'!$F$28</definedName>
    <definedName name="gbpusd_1y_scenario">'FX Hedge Model'!$C$33:$C$45</definedName>
    <definedName name="hedge_no">'FX Hedge Model'!$D$33:$D$45</definedName>
    <definedName name="named_range">#REF!</definedName>
    <definedName name="put_price">'FX Hedge Model'!$F$15</definedName>
    <definedName name="rate_uk_1y_payable">#REF!</definedName>
    <definedName name="rate_us_1y_payable">#REF!</definedName>
    <definedName name="recievable">'FX Hedge Model'!$F$6</definedName>
    <definedName name="x_put">'FX Hedge Model'!$F$14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F18" i="1"/>
  <c r="D41" i="1"/>
  <c r="E41" i="1" s="1"/>
  <c r="C41" i="1"/>
  <c r="H40" i="1"/>
  <c r="C40" i="1"/>
  <c r="D40" i="1" s="1"/>
  <c r="E40" i="1" s="1"/>
  <c r="H39" i="1"/>
  <c r="D39" i="1"/>
  <c r="H38" i="1"/>
  <c r="C38" i="1"/>
  <c r="D38" i="1" s="1"/>
  <c r="E38" i="1" s="1"/>
  <c r="C37" i="1"/>
  <c r="F27" i="1"/>
  <c r="F28" i="1" s="1"/>
  <c r="F21" i="1"/>
  <c r="F22" i="1" s="1"/>
  <c r="F23" i="1" s="1"/>
  <c r="F24" i="1" s="1"/>
  <c r="G27" i="1"/>
  <c r="F45" i="1" l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I38" i="1"/>
  <c r="F34" i="1"/>
  <c r="J37" i="1"/>
  <c r="J41" i="1"/>
  <c r="G41" i="1" s="1"/>
  <c r="L41" i="1" s="1"/>
  <c r="J39" i="1"/>
  <c r="G39" i="1" s="1"/>
  <c r="J36" i="1"/>
  <c r="J42" i="1"/>
  <c r="J40" i="1"/>
  <c r="G40" i="1" s="1"/>
  <c r="J38" i="1"/>
  <c r="G38" i="1" s="1"/>
  <c r="H37" i="1"/>
  <c r="C36" i="1"/>
  <c r="H41" i="1"/>
  <c r="C42" i="1"/>
  <c r="D37" i="1"/>
  <c r="E39" i="1"/>
  <c r="L38" i="1" l="1"/>
  <c r="D36" i="1"/>
  <c r="H36" i="1"/>
  <c r="C35" i="1"/>
  <c r="E37" i="1"/>
  <c r="G37" i="1"/>
  <c r="I37" i="1"/>
  <c r="D42" i="1"/>
  <c r="C43" i="1"/>
  <c r="H42" i="1"/>
  <c r="L39" i="1"/>
  <c r="K39" i="1"/>
  <c r="K38" i="1"/>
  <c r="L40" i="1"/>
  <c r="K40" i="1"/>
  <c r="K41" i="1"/>
  <c r="C44" i="1" l="1"/>
  <c r="H43" i="1"/>
  <c r="D43" i="1"/>
  <c r="J43" i="1"/>
  <c r="E42" i="1"/>
  <c r="G42" i="1"/>
  <c r="I42" i="1"/>
  <c r="L37" i="1"/>
  <c r="K37" i="1"/>
  <c r="C34" i="1"/>
  <c r="H35" i="1"/>
  <c r="D35" i="1"/>
  <c r="J35" i="1"/>
  <c r="E36" i="1"/>
  <c r="G36" i="1"/>
  <c r="I36" i="1"/>
  <c r="L36" i="1" l="1"/>
  <c r="K36" i="1"/>
  <c r="L42" i="1"/>
  <c r="K42" i="1"/>
  <c r="G43" i="1"/>
  <c r="E43" i="1"/>
  <c r="I43" i="1"/>
  <c r="G35" i="1"/>
  <c r="E35" i="1"/>
  <c r="I35" i="1"/>
  <c r="D44" i="1"/>
  <c r="H44" i="1"/>
  <c r="C45" i="1"/>
  <c r="J44" i="1"/>
  <c r="D34" i="1"/>
  <c r="H34" i="1"/>
  <c r="C33" i="1"/>
  <c r="J34" i="1"/>
  <c r="L35" i="1" l="1"/>
  <c r="K35" i="1"/>
  <c r="E44" i="1"/>
  <c r="G44" i="1"/>
  <c r="I44" i="1"/>
  <c r="L43" i="1"/>
  <c r="K43" i="1"/>
  <c r="H33" i="1"/>
  <c r="J33" i="1"/>
  <c r="G33" i="1" s="1"/>
  <c r="E34" i="1"/>
  <c r="G34" i="1"/>
  <c r="I34" i="1"/>
  <c r="H45" i="1"/>
  <c r="D45" i="1"/>
  <c r="J45" i="1"/>
  <c r="E33" i="1" l="1"/>
  <c r="I33" i="1"/>
  <c r="L34" i="1"/>
  <c r="K34" i="1"/>
  <c r="L44" i="1"/>
  <c r="K44" i="1"/>
  <c r="G45" i="1"/>
  <c r="F29" i="1" s="1"/>
  <c r="E45" i="1"/>
  <c r="I45" i="1"/>
  <c r="K45" i="1" l="1"/>
  <c r="L45" i="1"/>
  <c r="L33" i="1"/>
  <c r="K33" i="1"/>
</calcChain>
</file>

<file path=xl/sharedStrings.xml><?xml version="1.0" encoding="utf-8"?>
<sst xmlns="http://schemas.openxmlformats.org/spreadsheetml/2006/main" count="63" uniqueCount="57">
  <si>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</si>
  <si>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</si>
  <si>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</si>
  <si>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</si>
  <si>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</si>
  <si>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</si>
  <si>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</si>
  <si>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</si>
  <si>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</si>
  <si>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</si>
  <si>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</si>
  <si>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</si>
  <si>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</si>
  <si>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</si>
  <si>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</si>
  <si>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</si>
  <si>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</si>
  <si>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</si>
  <si>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</si>
  <si>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</si>
  <si>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</si>
  <si>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</si>
  <si>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</si>
  <si>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</si>
  <si>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</si>
  <si>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</si>
  <si>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</si>
  <si>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</si>
  <si>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</si>
  <si>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</si>
  <si>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</si>
  <si>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</si>
  <si>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</si>
  <si>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</si>
  <si>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</si>
  <si>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</si>
  <si>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</si>
  <si>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</si>
  <si>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</si>
  <si>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</si>
  <si>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</si>
  <si>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t>Notes and Assumptions</t>
  </si>
  <si>
    <r>
      <rPr>
        <b/>
        <sz val="10"/>
        <color rgb="FF000000"/>
        <rFont val="Arial"/>
        <family val="2"/>
        <scheme val="minor"/>
      </rPr>
      <t>1.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Interest rates are assumed</t>
    </r>
  </si>
  <si>
    <t>U.S. = 5%</t>
  </si>
  <si>
    <t>U.K = 3%</t>
  </si>
  <si>
    <t>Interest rates are based on macro benchmarks rather than the exact market quotes</t>
  </si>
  <si>
    <t>* firms use market-specific borrowing and lending rates</t>
  </si>
  <si>
    <t>* focusing on hedge mechanics rather than sourcing percise rates</t>
  </si>
  <si>
    <t>2. Covered Interest Parity Holds (No Arbitrage)</t>
  </si>
  <si>
    <t>* model assumes forward rates are consistent with interest rate differentials</t>
  </si>
  <si>
    <t>Forward hedge ≈ Money Market Hedge</t>
  </si>
  <si>
    <t>* assuming arbitrage eliminates pricing gaps between strategies</t>
  </si>
  <si>
    <t xml:space="preserve">* model assumes the firm can borrow and lend freely </t>
  </si>
  <si>
    <t>3. No Credit Risk</t>
  </si>
  <si>
    <t>4. Annual Compounding</t>
  </si>
  <si>
    <t>* interest rates are applied once during the 1 year horizon, with no continuous compounding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</si>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</sst>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£]#,##0"/>
    <numFmt numFmtId="165" formatCode="&quot;$&quot;#,##0.00"/>
    <numFmt numFmtId="166" formatCode="&quot;$&quot;#,##0"/>
    <numFmt numFmtId="167" formatCode="&quot;$&quot;#,##0.000"/>
  </numFmts>
  <fonts count="15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 (Body)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7" fontId="1" fillId="3" borderId="17" xfId="0" applyNumberFormat="1" applyFont="1" applyFill="1" applyBorder="1" applyAlignment="1">
      <alignment vertical="top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29" xfId="0" applyFont="1" applyBorder="1"/>
    <xf numFmtId="0" fontId="2" fillId="0" borderId="26" xfId="0" applyFont="1" applyBorder="1" applyAlignment="1">
      <alignment vertical="top"/>
    </xf>
    <xf numFmtId="0" fontId="3" fillId="0" borderId="23" xfId="0" applyFont="1" applyBorder="1"/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1" fillId="0" borderId="28" xfId="0" applyFont="1" applyBorder="1" applyAlignment="1">
      <alignment vertical="top"/>
    </xf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1" fillId="0" borderId="22" xfId="0" applyFont="1" applyBorder="1" applyAlignment="1">
      <alignment vertical="top"/>
    </xf>
    <xf numFmtId="0" fontId="3" fillId="0" borderId="24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topLeftCell="C1" zoomScale="59" workbookViewId="0">
      <selection activeCell="H12" sqref="H12"/>
    </sheetView>
  </sheetViews>
  <sheetFormatPr baseColWidth="10" defaultColWidth="12.6640625" defaultRowHeight="13" x14ac:dyDescent="0.15"/>
  <cols>
    <col min="1" max="1" width="3" customWidth="1"/>
    <col min="2" max="2" width="4.5" customWidth="1"/>
    <col min="3" max="3" width="79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15">
      <c r="A3" s="1"/>
      <c r="B3" s="2"/>
      <c r="C3" s="92"/>
      <c r="D3" s="93"/>
      <c r="E3" s="93"/>
      <c r="F3" s="93"/>
      <c r="G3" s="93"/>
      <c r="H3" s="93"/>
      <c r="I3" s="93"/>
      <c r="J3" s="10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106" t="s">
        <v>1</v>
      </c>
      <c r="D5" s="107"/>
      <c r="E5" s="107"/>
      <c r="F5" s="6" t="s">
        <v>2</v>
      </c>
      <c r="G5" s="7"/>
      <c r="H5" s="8" t="s">
        <v>3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25">
      <c r="A6" s="1"/>
      <c r="B6" s="4"/>
      <c r="C6" s="10" t="s">
        <v>4</v>
      </c>
      <c r="D6" s="11"/>
      <c r="E6" s="11"/>
      <c r="F6" s="12">
        <v>20000000</v>
      </c>
      <c r="G6" s="13"/>
      <c r="H6" s="14" t="s">
        <v>5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25">
      <c r="A7" s="1"/>
      <c r="B7" s="4"/>
      <c r="C7" s="10" t="s">
        <v>6</v>
      </c>
      <c r="D7" s="16"/>
      <c r="E7" s="16"/>
      <c r="F7" s="17">
        <v>1.1605000000000001</v>
      </c>
      <c r="G7" s="18"/>
      <c r="H7" s="19" t="s">
        <v>7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8</v>
      </c>
      <c r="D8" s="21"/>
      <c r="E8" s="21"/>
      <c r="F8" s="22"/>
      <c r="G8" s="9"/>
      <c r="H8" s="23" t="s">
        <v>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10</v>
      </c>
      <c r="D9" s="21"/>
      <c r="E9" s="21"/>
      <c r="F9" s="24">
        <v>0.05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11</v>
      </c>
      <c r="D10" s="21"/>
      <c r="E10" s="21"/>
      <c r="F10" s="24">
        <v>0.03</v>
      </c>
      <c r="G10" s="25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13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14</v>
      </c>
      <c r="D12" s="16"/>
      <c r="E12" s="16"/>
      <c r="F12" s="17">
        <v>1.0934999999999999</v>
      </c>
      <c r="G12" s="9"/>
      <c r="H12" s="2" t="s">
        <v>56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15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16</v>
      </c>
      <c r="D14" s="29"/>
      <c r="E14" s="29"/>
      <c r="F14" s="30">
        <v>1.1599999999999999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17</v>
      </c>
      <c r="D15" s="32"/>
      <c r="E15" s="32"/>
      <c r="F15" s="86">
        <v>1.9E-2</v>
      </c>
      <c r="G15" s="9"/>
      <c r="H15" s="33"/>
      <c r="I15" s="2"/>
      <c r="J15" s="33"/>
      <c r="K15" s="33"/>
      <c r="L15" s="33"/>
      <c r="M15" s="3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4"/>
      <c r="D16" s="34"/>
      <c r="E16" s="34"/>
      <c r="F16" s="34"/>
      <c r="G16" s="35"/>
      <c r="H16" s="35"/>
      <c r="I16" s="5"/>
      <c r="J16" s="36"/>
      <c r="K16" s="3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108" t="s">
        <v>18</v>
      </c>
      <c r="D17" s="99"/>
      <c r="E17" s="99"/>
      <c r="F17" s="99"/>
      <c r="G17" s="99"/>
      <c r="H17" s="99"/>
      <c r="I17" s="99"/>
      <c r="J17" s="100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109" t="s">
        <v>19</v>
      </c>
      <c r="D18" s="96"/>
      <c r="E18" s="110"/>
      <c r="F18" s="37">
        <f>F6*for_GBPUSD</f>
        <v>21870000</v>
      </c>
      <c r="G18" s="95" t="s">
        <v>20</v>
      </c>
      <c r="H18" s="96"/>
      <c r="I18" s="96"/>
      <c r="J18" s="97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4"/>
      <c r="D19" s="34"/>
      <c r="E19" s="34"/>
      <c r="F19" s="34"/>
      <c r="G19" s="38"/>
      <c r="H19" s="34"/>
      <c r="I19" s="34"/>
      <c r="J19" s="3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98" t="s">
        <v>21</v>
      </c>
      <c r="D20" s="99"/>
      <c r="E20" s="99"/>
      <c r="F20" s="99"/>
      <c r="G20" s="99"/>
      <c r="H20" s="99"/>
      <c r="I20" s="99"/>
      <c r="J20" s="100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101" t="s">
        <v>22</v>
      </c>
      <c r="D21" s="93"/>
      <c r="E21" s="102"/>
      <c r="F21" s="39">
        <f>F6/(1+F10)</f>
        <v>19417475.728155341</v>
      </c>
      <c r="G21" s="92"/>
      <c r="H21" s="93"/>
      <c r="I21" s="93"/>
      <c r="J21" s="94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101" t="s">
        <v>23</v>
      </c>
      <c r="D22" s="93"/>
      <c r="E22" s="102"/>
      <c r="F22" s="40">
        <f>F21*F7</f>
        <v>22533980.582524274</v>
      </c>
      <c r="G22" s="92"/>
      <c r="H22" s="93"/>
      <c r="I22" s="93"/>
      <c r="J22" s="94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101" t="s">
        <v>24</v>
      </c>
      <c r="D23" s="93"/>
      <c r="E23" s="102"/>
      <c r="F23" s="40">
        <f>F22*(1+F9)</f>
        <v>23660679.611650489</v>
      </c>
      <c r="G23" s="92"/>
      <c r="H23" s="93"/>
      <c r="I23" s="93"/>
      <c r="J23" s="9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41"/>
      <c r="D24" s="42"/>
      <c r="E24" s="42"/>
      <c r="F24" s="37">
        <f>F23</f>
        <v>23660679.611650489</v>
      </c>
      <c r="G24" s="95" t="s">
        <v>20</v>
      </c>
      <c r="H24" s="96"/>
      <c r="I24" s="96"/>
      <c r="J24" s="97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2"/>
      <c r="C25" s="34"/>
      <c r="D25" s="34"/>
      <c r="E25" s="34"/>
      <c r="F25" s="34"/>
      <c r="G25" s="38"/>
      <c r="H25" s="34"/>
      <c r="I25" s="34"/>
      <c r="J25" s="3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98" t="s">
        <v>25</v>
      </c>
      <c r="D26" s="99"/>
      <c r="E26" s="99"/>
      <c r="F26" s="99"/>
      <c r="G26" s="99"/>
      <c r="H26" s="99"/>
      <c r="I26" s="99"/>
      <c r="J26" s="100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25">
      <c r="A27" s="1"/>
      <c r="B27" s="4"/>
      <c r="C27" s="101" t="s">
        <v>26</v>
      </c>
      <c r="D27" s="93"/>
      <c r="E27" s="102"/>
      <c r="F27" s="40">
        <f>-put_price*recievable</f>
        <v>-380000</v>
      </c>
      <c r="G27" s="33" t="str">
        <f ca="1">_xlfn.FORMULATEXT(F27)</f>
        <v>=-put_price*recievable</v>
      </c>
      <c r="H27" s="2"/>
      <c r="I27" s="2"/>
      <c r="J27" s="43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01" t="s">
        <v>27</v>
      </c>
      <c r="D28" s="93"/>
      <c r="E28" s="102"/>
      <c r="F28" s="40">
        <f>F27*(1+F9)</f>
        <v>-399000</v>
      </c>
      <c r="G28" s="33"/>
      <c r="H28" s="2"/>
      <c r="I28" s="2"/>
      <c r="J28" s="4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15">
      <c r="A29" s="1"/>
      <c r="B29" s="4"/>
      <c r="C29" s="41"/>
      <c r="D29" s="44"/>
      <c r="E29" s="44"/>
      <c r="F29" s="45">
        <f>MIN(G33:G45)</f>
        <v>27601000</v>
      </c>
      <c r="G29" s="95" t="s">
        <v>28</v>
      </c>
      <c r="H29" s="96"/>
      <c r="I29" s="96"/>
      <c r="J29" s="97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15">
      <c r="A30" s="1"/>
      <c r="B30" s="2"/>
      <c r="C30" s="46"/>
      <c r="D30" s="34"/>
      <c r="E30" s="34"/>
      <c r="F30" s="34"/>
      <c r="G30" s="38"/>
      <c r="H30" s="46"/>
      <c r="I30" s="46"/>
      <c r="J30" s="4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111" t="s">
        <v>29</v>
      </c>
      <c r="D31" s="90" t="s">
        <v>30</v>
      </c>
      <c r="E31" s="113"/>
      <c r="F31" s="113"/>
      <c r="G31" s="91"/>
      <c r="H31" s="114" t="s">
        <v>31</v>
      </c>
      <c r="I31" s="113"/>
      <c r="J31" s="91"/>
      <c r="K31" s="90" t="s">
        <v>32</v>
      </c>
      <c r="L31" s="91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4"/>
      <c r="C32" s="112"/>
      <c r="D32" s="47" t="s">
        <v>33</v>
      </c>
      <c r="E32" s="48" t="s">
        <v>18</v>
      </c>
      <c r="F32" s="49" t="s">
        <v>21</v>
      </c>
      <c r="G32" s="50" t="s">
        <v>25</v>
      </c>
      <c r="H32" s="51" t="s">
        <v>34</v>
      </c>
      <c r="I32" s="52" t="s">
        <v>21</v>
      </c>
      <c r="J32" s="53" t="s">
        <v>25</v>
      </c>
      <c r="K32" s="47" t="s">
        <v>35</v>
      </c>
      <c r="L32" s="54" t="s">
        <v>36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55"/>
      <c r="B33" s="103" t="s">
        <v>37</v>
      </c>
      <c r="C33" s="56">
        <f t="shared" ref="C33:C38" si="0">C34-0.01</f>
        <v>1.4</v>
      </c>
      <c r="D33" s="57">
        <f>C33*$F$6</f>
        <v>28000000</v>
      </c>
      <c r="E33" s="58">
        <f t="shared" ref="E33:E45" si="1">$D33+($F$12-C33)*$F$6</f>
        <v>21870000</v>
      </c>
      <c r="F33" s="59">
        <f t="shared" ref="F33:F45" si="2">$F$24</f>
        <v>23660679.611650489</v>
      </c>
      <c r="G33" s="60">
        <f>hedge_no+J33</f>
        <v>27601000</v>
      </c>
      <c r="H33" s="61">
        <f t="shared" ref="H33:H45" si="3">($F$12-C33)*$F$6</f>
        <v>-6130000</v>
      </c>
      <c r="I33" s="62">
        <f t="shared" ref="I33:I45" si="4">$F$24-D33</f>
        <v>-4339320.3883495107</v>
      </c>
      <c r="J33" s="63">
        <f t="shared" ref="J33:J45" si="5">fv_put_outlay+MAX(0,(x_put-gbpusd_1y_scenario)*recievable)</f>
        <v>-399000</v>
      </c>
      <c r="K33" s="64" t="str">
        <f t="shared" ref="K33:K45" si="6">IF(E33= MAX(D33,E33,F33,G33),$E$32,IF(F33= MAX(D33,E33,F33,G33),$F$32,IF(G33= MAX(D33,E33,F33,G33),$G$32,$D$32)))</f>
        <v>0. No Hedge</v>
      </c>
      <c r="L33" s="65" t="str">
        <f t="shared" ref="L33:L45" si="7">IF(E33= MAX(E33,F33,G33),$E$32,IF(F33= MAX(E33,F33,G33),$F$32,$G$32))</f>
        <v>3. Option Hedge</v>
      </c>
      <c r="M33" s="9" t="s">
        <v>38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8" x14ac:dyDescent="0.25">
      <c r="A34" s="55"/>
      <c r="B34" s="104"/>
      <c r="C34" s="66">
        <f t="shared" si="0"/>
        <v>1.41</v>
      </c>
      <c r="D34" s="67">
        <f t="shared" ref="D34:D45" si="8">C34*$F$6</f>
        <v>28200000</v>
      </c>
      <c r="E34" s="68">
        <f t="shared" si="1"/>
        <v>21870000</v>
      </c>
      <c r="F34" s="69">
        <f t="shared" si="2"/>
        <v>23660679.611650489</v>
      </c>
      <c r="G34" s="70">
        <f t="shared" ref="G34:G45" si="9">$D34+J34</f>
        <v>27801000</v>
      </c>
      <c r="H34" s="71">
        <f t="shared" si="3"/>
        <v>-6330000</v>
      </c>
      <c r="I34" s="72">
        <f t="shared" si="4"/>
        <v>-4539320.3883495107</v>
      </c>
      <c r="J34" s="63">
        <f t="shared" si="5"/>
        <v>-399000</v>
      </c>
      <c r="K34" s="73" t="str">
        <f t="shared" si="6"/>
        <v>0. No Hedge</v>
      </c>
      <c r="L34" s="74" t="str">
        <f t="shared" si="7"/>
        <v>3. Option Hedge</v>
      </c>
      <c r="M34" s="7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5"/>
      <c r="B35" s="104"/>
      <c r="C35" s="66">
        <f t="shared" si="0"/>
        <v>1.42</v>
      </c>
      <c r="D35" s="67">
        <f t="shared" si="8"/>
        <v>28400000</v>
      </c>
      <c r="E35" s="68">
        <f t="shared" si="1"/>
        <v>21870000</v>
      </c>
      <c r="F35" s="69">
        <f t="shared" si="2"/>
        <v>23660679.611650489</v>
      </c>
      <c r="G35" s="70">
        <f t="shared" si="9"/>
        <v>28001000</v>
      </c>
      <c r="H35" s="71">
        <f t="shared" si="3"/>
        <v>-6530000</v>
      </c>
      <c r="I35" s="72">
        <f t="shared" si="4"/>
        <v>-4739320.3883495107</v>
      </c>
      <c r="J35" s="63">
        <f t="shared" si="5"/>
        <v>-399000</v>
      </c>
      <c r="K35" s="73" t="str">
        <f t="shared" si="6"/>
        <v>0. No Hedge</v>
      </c>
      <c r="L35" s="74" t="str">
        <f t="shared" si="7"/>
        <v>3. Option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5"/>
      <c r="B36" s="104"/>
      <c r="C36" s="66">
        <f t="shared" si="0"/>
        <v>1.43</v>
      </c>
      <c r="D36" s="67">
        <f t="shared" si="8"/>
        <v>28600000</v>
      </c>
      <c r="E36" s="68">
        <f t="shared" si="1"/>
        <v>21870000</v>
      </c>
      <c r="F36" s="69">
        <f t="shared" si="2"/>
        <v>23660679.611650489</v>
      </c>
      <c r="G36" s="70">
        <f t="shared" si="9"/>
        <v>28201000</v>
      </c>
      <c r="H36" s="71">
        <f t="shared" si="3"/>
        <v>-6730000</v>
      </c>
      <c r="I36" s="72">
        <f t="shared" si="4"/>
        <v>-4939320.3883495107</v>
      </c>
      <c r="J36" s="63">
        <f t="shared" si="5"/>
        <v>-399000</v>
      </c>
      <c r="K36" s="73" t="str">
        <f t="shared" si="6"/>
        <v>0. No Hedge</v>
      </c>
      <c r="L36" s="74" t="str">
        <f t="shared" si="7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5"/>
      <c r="B37" s="104"/>
      <c r="C37" s="66">
        <f t="shared" si="0"/>
        <v>1.44</v>
      </c>
      <c r="D37" s="67">
        <f t="shared" si="8"/>
        <v>28800000</v>
      </c>
      <c r="E37" s="68">
        <f t="shared" si="1"/>
        <v>21870000</v>
      </c>
      <c r="F37" s="69">
        <f t="shared" si="2"/>
        <v>23660679.611650489</v>
      </c>
      <c r="G37" s="70">
        <f t="shared" si="9"/>
        <v>28401000</v>
      </c>
      <c r="H37" s="71">
        <f t="shared" si="3"/>
        <v>-6930000.0000000009</v>
      </c>
      <c r="I37" s="72">
        <f t="shared" si="4"/>
        <v>-5139320.3883495107</v>
      </c>
      <c r="J37" s="63">
        <f t="shared" si="5"/>
        <v>-399000</v>
      </c>
      <c r="K37" s="73" t="str">
        <f t="shared" si="6"/>
        <v>0. No Hedge</v>
      </c>
      <c r="L37" s="74" t="str">
        <f t="shared" si="7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5"/>
      <c r="B38" s="104"/>
      <c r="C38" s="66">
        <f t="shared" si="0"/>
        <v>1.45</v>
      </c>
      <c r="D38" s="67">
        <f t="shared" si="8"/>
        <v>29000000</v>
      </c>
      <c r="E38" s="68">
        <f t="shared" si="1"/>
        <v>21870000</v>
      </c>
      <c r="F38" s="69">
        <f t="shared" si="2"/>
        <v>23660679.611650489</v>
      </c>
      <c r="G38" s="70">
        <f t="shared" si="9"/>
        <v>28601000</v>
      </c>
      <c r="H38" s="71">
        <f t="shared" si="3"/>
        <v>-7130000.0000000009</v>
      </c>
      <c r="I38" s="72">
        <f t="shared" si="4"/>
        <v>-5339320.3883495107</v>
      </c>
      <c r="J38" s="63">
        <f t="shared" si="5"/>
        <v>-399000</v>
      </c>
      <c r="K38" s="73" t="str">
        <f t="shared" si="6"/>
        <v>0. No Hedge</v>
      </c>
      <c r="L38" s="74" t="str">
        <f t="shared" si="7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5"/>
      <c r="B39" s="104"/>
      <c r="C39" s="66">
        <v>1.46</v>
      </c>
      <c r="D39" s="67">
        <f t="shared" si="8"/>
        <v>29200000</v>
      </c>
      <c r="E39" s="68">
        <f t="shared" si="1"/>
        <v>21870000</v>
      </c>
      <c r="F39" s="69">
        <f t="shared" si="2"/>
        <v>23660679.611650489</v>
      </c>
      <c r="G39" s="70">
        <f t="shared" si="9"/>
        <v>28801000</v>
      </c>
      <c r="H39" s="71">
        <f t="shared" si="3"/>
        <v>-7330000.0000000009</v>
      </c>
      <c r="I39" s="72">
        <f t="shared" si="4"/>
        <v>-5539320.3883495107</v>
      </c>
      <c r="J39" s="63">
        <f t="shared" si="5"/>
        <v>-399000</v>
      </c>
      <c r="K39" s="73" t="str">
        <f t="shared" si="6"/>
        <v>0. No Hedge</v>
      </c>
      <c r="L39" s="74" t="str">
        <f t="shared" si="7"/>
        <v>3. Option Hedge</v>
      </c>
      <c r="M39" s="9" t="s">
        <v>39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5"/>
      <c r="B40" s="104"/>
      <c r="C40" s="66">
        <f t="shared" ref="C40:C45" si="10">C39+0.01</f>
        <v>1.47</v>
      </c>
      <c r="D40" s="67">
        <f t="shared" si="8"/>
        <v>29400000</v>
      </c>
      <c r="E40" s="68">
        <f t="shared" si="1"/>
        <v>21870000</v>
      </c>
      <c r="F40" s="69">
        <f t="shared" si="2"/>
        <v>23660679.611650489</v>
      </c>
      <c r="G40" s="70">
        <f t="shared" si="9"/>
        <v>29001000</v>
      </c>
      <c r="H40" s="71">
        <f t="shared" si="3"/>
        <v>-7530000.0000000009</v>
      </c>
      <c r="I40" s="72">
        <f t="shared" si="4"/>
        <v>-5739320.3883495107</v>
      </c>
      <c r="J40" s="63">
        <f t="shared" si="5"/>
        <v>-399000</v>
      </c>
      <c r="K40" s="73" t="str">
        <f t="shared" si="6"/>
        <v>0. No Hedge</v>
      </c>
      <c r="L40" s="74" t="str">
        <f t="shared" si="7"/>
        <v>3. Option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5"/>
      <c r="B41" s="104"/>
      <c r="C41" s="66">
        <f t="shared" si="10"/>
        <v>1.48</v>
      </c>
      <c r="D41" s="67">
        <f t="shared" si="8"/>
        <v>29600000</v>
      </c>
      <c r="E41" s="68">
        <f t="shared" si="1"/>
        <v>21870000</v>
      </c>
      <c r="F41" s="69">
        <f t="shared" si="2"/>
        <v>23660679.611650489</v>
      </c>
      <c r="G41" s="70">
        <f t="shared" si="9"/>
        <v>29201000</v>
      </c>
      <c r="H41" s="71">
        <f t="shared" si="3"/>
        <v>-7730000.0000000009</v>
      </c>
      <c r="I41" s="72">
        <f t="shared" si="4"/>
        <v>-5939320.3883495107</v>
      </c>
      <c r="J41" s="63">
        <f t="shared" si="5"/>
        <v>-399000</v>
      </c>
      <c r="K41" s="73" t="str">
        <f t="shared" si="6"/>
        <v>0. No Hedge</v>
      </c>
      <c r="L41" s="74" t="str">
        <f t="shared" si="7"/>
        <v>3. Option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5"/>
      <c r="B42" s="104"/>
      <c r="C42" s="66">
        <f t="shared" si="10"/>
        <v>1.49</v>
      </c>
      <c r="D42" s="67">
        <f t="shared" si="8"/>
        <v>29800000</v>
      </c>
      <c r="E42" s="68">
        <f t="shared" si="1"/>
        <v>21870000</v>
      </c>
      <c r="F42" s="69">
        <f t="shared" si="2"/>
        <v>23660679.611650489</v>
      </c>
      <c r="G42" s="70">
        <f t="shared" si="9"/>
        <v>29401000</v>
      </c>
      <c r="H42" s="71">
        <f t="shared" si="3"/>
        <v>-7930000.0000000019</v>
      </c>
      <c r="I42" s="72">
        <f t="shared" si="4"/>
        <v>-6139320.3883495107</v>
      </c>
      <c r="J42" s="63">
        <f t="shared" si="5"/>
        <v>-399000</v>
      </c>
      <c r="K42" s="73" t="str">
        <f t="shared" si="6"/>
        <v>0. No Hedge</v>
      </c>
      <c r="L42" s="76" t="str">
        <f t="shared" si="7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5"/>
      <c r="B43" s="104"/>
      <c r="C43" s="66">
        <f t="shared" si="10"/>
        <v>1.5</v>
      </c>
      <c r="D43" s="67">
        <f t="shared" si="8"/>
        <v>30000000</v>
      </c>
      <c r="E43" s="68">
        <f t="shared" si="1"/>
        <v>21870000</v>
      </c>
      <c r="F43" s="69">
        <f t="shared" si="2"/>
        <v>23660679.611650489</v>
      </c>
      <c r="G43" s="70">
        <f t="shared" si="9"/>
        <v>29601000</v>
      </c>
      <c r="H43" s="71">
        <f t="shared" si="3"/>
        <v>-8130000.0000000019</v>
      </c>
      <c r="I43" s="72">
        <f t="shared" si="4"/>
        <v>-6339320.3883495107</v>
      </c>
      <c r="J43" s="63">
        <f t="shared" si="5"/>
        <v>-399000</v>
      </c>
      <c r="K43" s="73" t="str">
        <f t="shared" si="6"/>
        <v>0. No Hedge</v>
      </c>
      <c r="L43" s="76" t="str">
        <f t="shared" si="7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5"/>
      <c r="B44" s="104"/>
      <c r="C44" s="66">
        <f t="shared" si="10"/>
        <v>1.51</v>
      </c>
      <c r="D44" s="67">
        <f t="shared" si="8"/>
        <v>30200000</v>
      </c>
      <c r="E44" s="68">
        <f t="shared" si="1"/>
        <v>21870000</v>
      </c>
      <c r="F44" s="69">
        <f t="shared" si="2"/>
        <v>23660679.611650489</v>
      </c>
      <c r="G44" s="70">
        <f t="shared" si="9"/>
        <v>29801000</v>
      </c>
      <c r="H44" s="71">
        <f t="shared" si="3"/>
        <v>-8330000.0000000019</v>
      </c>
      <c r="I44" s="72">
        <f t="shared" si="4"/>
        <v>-6539320.3883495107</v>
      </c>
      <c r="J44" s="63">
        <f t="shared" si="5"/>
        <v>-399000</v>
      </c>
      <c r="K44" s="73" t="str">
        <f t="shared" si="6"/>
        <v>0. No Hedge</v>
      </c>
      <c r="L44" s="76" t="str">
        <f t="shared" si="7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5"/>
      <c r="B45" s="105"/>
      <c r="C45" s="77">
        <f t="shared" si="10"/>
        <v>1.52</v>
      </c>
      <c r="D45" s="78">
        <f t="shared" si="8"/>
        <v>30400000</v>
      </c>
      <c r="E45" s="79">
        <f t="shared" si="1"/>
        <v>21870000</v>
      </c>
      <c r="F45" s="80">
        <f t="shared" si="2"/>
        <v>23660679.611650489</v>
      </c>
      <c r="G45" s="81">
        <f t="shared" si="9"/>
        <v>30001000</v>
      </c>
      <c r="H45" s="82">
        <f t="shared" si="3"/>
        <v>-8530000.0000000019</v>
      </c>
      <c r="I45" s="83">
        <f t="shared" si="4"/>
        <v>-6739320.3883495107</v>
      </c>
      <c r="J45" s="63">
        <f t="shared" si="5"/>
        <v>-399000</v>
      </c>
      <c r="K45" s="84" t="str">
        <f t="shared" si="6"/>
        <v>0. No Hedge</v>
      </c>
      <c r="L45" s="85" t="str">
        <f t="shared" si="7"/>
        <v>3. Option Hedge</v>
      </c>
      <c r="M45" s="9" t="s">
        <v>40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15">
      <c r="A46" s="1"/>
      <c r="B46" s="2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162A-7179-E648-A473-E57104DE399B}">
  <dimension ref="A1:A19"/>
  <sheetViews>
    <sheetView workbookViewId="0">
      <selection activeCell="A20" sqref="A20"/>
    </sheetView>
  </sheetViews>
  <sheetFormatPr baseColWidth="10" defaultRowHeight="13" x14ac:dyDescent="0.15"/>
  <sheetData>
    <row r="1" spans="1:1" ht="20" x14ac:dyDescent="0.2">
      <c r="A1" s="88" t="s">
        <v>41</v>
      </c>
    </row>
    <row r="3" spans="1:1" x14ac:dyDescent="0.15">
      <c r="A3" s="89" t="s">
        <v>42</v>
      </c>
    </row>
    <row r="4" spans="1:1" x14ac:dyDescent="0.15">
      <c r="A4" s="89" t="s">
        <v>43</v>
      </c>
    </row>
    <row r="5" spans="1:1" x14ac:dyDescent="0.15">
      <c r="A5" s="89" t="s">
        <v>44</v>
      </c>
    </row>
    <row r="6" spans="1:1" x14ac:dyDescent="0.15">
      <c r="A6" s="89" t="s">
        <v>45</v>
      </c>
    </row>
    <row r="7" spans="1:1" x14ac:dyDescent="0.15">
      <c r="A7" s="89" t="s">
        <v>46</v>
      </c>
    </row>
    <row r="8" spans="1:1" x14ac:dyDescent="0.15">
      <c r="A8" s="89" t="s">
        <v>47</v>
      </c>
    </row>
    <row r="10" spans="1:1" x14ac:dyDescent="0.15">
      <c r="A10" s="87" t="s">
        <v>48</v>
      </c>
    </row>
    <row r="11" spans="1:1" x14ac:dyDescent="0.15">
      <c r="A11" s="89" t="s">
        <v>49</v>
      </c>
    </row>
    <row r="12" spans="1:1" x14ac:dyDescent="0.15">
      <c r="A12" s="89" t="s">
        <v>50</v>
      </c>
    </row>
    <row r="13" spans="1:1" x14ac:dyDescent="0.15">
      <c r="A13" s="89" t="s">
        <v>51</v>
      </c>
    </row>
    <row r="15" spans="1:1" x14ac:dyDescent="0.15">
      <c r="A15" s="87" t="s">
        <v>53</v>
      </c>
    </row>
    <row r="16" spans="1:1" x14ac:dyDescent="0.15">
      <c r="A16" s="89" t="s">
        <v>52</v>
      </c>
    </row>
    <row r="18" spans="1:1" x14ac:dyDescent="0.15">
      <c r="A18" s="87" t="s">
        <v>54</v>
      </c>
    </row>
    <row r="19" spans="1:1" x14ac:dyDescent="0.15">
      <c r="A19" s="8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FX Hedge Model</vt:lpstr>
      <vt:lpstr>Notes &amp; Assumptions</vt:lpstr>
      <vt:lpstr>for_GBPUSD</vt:lpstr>
      <vt:lpstr>fv_put_outlay</vt:lpstr>
      <vt:lpstr>gbpusd_1y_scenario</vt:lpstr>
      <vt:lpstr>hedge_no</vt:lpstr>
      <vt:lpstr>put_price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Loperfido</cp:lastModifiedBy>
  <dcterms:created xsi:type="dcterms:W3CDTF">2026-04-15T20:46:17Z</dcterms:created>
  <dcterms:modified xsi:type="dcterms:W3CDTF">2026-04-16T20:42:20Z</dcterms:modified>
</cp:coreProperties>
</file>